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l4r5\Desktop\3. Profesionista\Proyecto\Perfil de capacitación\"/>
    </mc:Choice>
  </mc:AlternateContent>
  <xr:revisionPtr revIDLastSave="0" documentId="8_{7A04D6CF-56F0-402D-AE04-1EA6172339D5}" xr6:coauthVersionLast="47" xr6:coauthVersionMax="47" xr10:uidLastSave="{00000000-0000-0000-0000-000000000000}"/>
  <bookViews>
    <workbookView xWindow="20370" yWindow="2025" windowWidth="20730" windowHeight="11040" xr2:uid="{00000000-000D-0000-FFFF-FFFF00000000}"/>
  </bookViews>
  <sheets>
    <sheet name="PCT" sheetId="2" r:id="rId1"/>
  </sheets>
  <definedNames>
    <definedName name="_xlnm.Print_Area" localSheetId="0">PCT!$A$1:$H$156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8" i="2" l="1"/>
  <c r="B79" i="2"/>
  <c r="B80" i="2"/>
  <c r="B81" i="2"/>
  <c r="B82" i="2"/>
  <c r="B83" i="2"/>
  <c r="B84" i="2"/>
  <c r="B85" i="2"/>
  <c r="B86" i="2"/>
  <c r="B87" i="2"/>
  <c r="B121" i="2"/>
  <c r="B122" i="2"/>
  <c r="B123" i="2"/>
  <c r="B124" i="2"/>
  <c r="B125" i="2"/>
  <c r="F125" i="2" l="1"/>
  <c r="F124" i="2"/>
  <c r="F123" i="2"/>
  <c r="F122" i="2"/>
  <c r="F121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G35" i="2" l="1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25" i="2"/>
  <c r="G124" i="2"/>
  <c r="G123" i="2"/>
  <c r="G122" i="2"/>
  <c r="G121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69" i="2"/>
  <c r="C132" i="2"/>
  <c r="C131" i="2"/>
  <c r="E10" i="2" l="1"/>
  <c r="H10" i="2" l="1"/>
  <c r="H8" i="2"/>
  <c r="C8" i="2"/>
  <c r="E60" i="2"/>
  <c r="E112" i="2" s="1"/>
  <c r="E114" i="2" l="1"/>
  <c r="H114" i="2"/>
  <c r="H112" i="2"/>
  <c r="F116" i="2"/>
  <c r="F64" i="2"/>
  <c r="H60" i="2"/>
  <c r="H62" i="2"/>
  <c r="E62" i="2"/>
  <c r="C114" i="2"/>
  <c r="C62" i="2"/>
  <c r="C10" i="2"/>
  <c r="F12" i="2"/>
</calcChain>
</file>

<file path=xl/sharedStrings.xml><?xml version="1.0" encoding="utf-8"?>
<sst xmlns="http://schemas.openxmlformats.org/spreadsheetml/2006/main" count="162" uniqueCount="107">
  <si>
    <r>
      <rPr>
        <b/>
        <sz val="10"/>
        <rFont val="Arial"/>
        <family val="2"/>
      </rPr>
      <t xml:space="preserve">Dirección de Administración
</t>
    </r>
    <r>
      <rPr>
        <b/>
        <sz val="10"/>
        <rFont val="Arial"/>
        <family val="2"/>
      </rPr>
      <t>Gerencia de Capacitación</t>
    </r>
  </si>
  <si>
    <r>
      <rPr>
        <b/>
        <sz val="10"/>
        <rFont val="Arial"/>
        <family val="2"/>
      </rPr>
      <t>Perfil de Capacitación del Trabajador del Puesto Actual</t>
    </r>
  </si>
  <si>
    <r>
      <rPr>
        <b/>
        <sz val="11"/>
        <rFont val="Arial"/>
        <family val="2"/>
      </rPr>
      <t>PERFIL DE CAPACITACIÓN DEL TRABAJADOR</t>
    </r>
  </si>
  <si>
    <r>
      <rPr>
        <b/>
        <sz val="8.5"/>
        <rFont val="Arial"/>
        <family val="2"/>
      </rPr>
      <t>RPE:</t>
    </r>
  </si>
  <si>
    <r>
      <rPr>
        <b/>
        <sz val="8.5"/>
        <rFont val="Arial"/>
        <family val="2"/>
      </rPr>
      <t xml:space="preserve">FECHA DE INGRESO A
</t>
    </r>
    <r>
      <rPr>
        <b/>
        <sz val="8.5"/>
        <rFont val="Arial"/>
        <family val="2"/>
      </rPr>
      <t>CFE:</t>
    </r>
  </si>
  <si>
    <r>
      <rPr>
        <b/>
        <sz val="8.5"/>
        <rFont val="Arial"/>
        <family val="2"/>
      </rPr>
      <t xml:space="preserve">ÁREA DE
</t>
    </r>
    <r>
      <rPr>
        <b/>
        <sz val="8.5"/>
        <rFont val="Arial"/>
        <family val="2"/>
      </rPr>
      <t>RESPONSABILIDAD:</t>
    </r>
  </si>
  <si>
    <r>
      <rPr>
        <b/>
        <sz val="8.5"/>
        <rFont val="Arial"/>
        <family val="2"/>
      </rPr>
      <t xml:space="preserve">FECHA DE INGRESO AL
</t>
    </r>
    <r>
      <rPr>
        <b/>
        <sz val="8.5"/>
        <rFont val="Arial"/>
        <family val="2"/>
      </rPr>
      <t>PUESTO:</t>
    </r>
  </si>
  <si>
    <r>
      <rPr>
        <b/>
        <sz val="7.5"/>
        <rFont val="Arial"/>
        <family val="2"/>
      </rPr>
      <t>NO</t>
    </r>
  </si>
  <si>
    <r>
      <rPr>
        <b/>
        <sz val="7.5"/>
        <rFont val="Arial"/>
        <family val="2"/>
      </rPr>
      <t>ACREDITADO SI / NO</t>
    </r>
  </si>
  <si>
    <r>
      <rPr>
        <b/>
        <sz val="7.5"/>
        <rFont val="Arial"/>
        <family val="2"/>
      </rPr>
      <t>CALIFICA CIÓN</t>
    </r>
  </si>
  <si>
    <r>
      <rPr>
        <b/>
        <sz val="7.5"/>
        <rFont val="Arial"/>
        <family val="2"/>
      </rPr>
      <t>APROBACIÓN</t>
    </r>
  </si>
  <si>
    <t>ACTIVIDADES DE CAPACITACIÓN DESCRIPCIÓN</t>
  </si>
  <si>
    <t>CONTRATO COLECTIVO DE TRABAJO</t>
  </si>
  <si>
    <t>CALIDAD EN EL SERVICIO</t>
  </si>
  <si>
    <t>MANEJO A LA DEFENSIVA</t>
  </si>
  <si>
    <t xml:space="preserve">PROCESO:                                                                             </t>
  </si>
  <si>
    <t xml:space="preserve">ÁREA DE TRABAJO:    </t>
  </si>
  <si>
    <t>DESCRIPCION</t>
  </si>
  <si>
    <t xml:space="preserve">SI / NO  </t>
  </si>
  <si>
    <t xml:space="preserve">CONSTANCIA ACREDITACIÓN
      </t>
  </si>
  <si>
    <t>FECHA DEL DOCUMENTO</t>
  </si>
  <si>
    <t xml:space="preserve">REVISIÓN NO. </t>
  </si>
  <si>
    <t xml:space="preserve">ELABORÓ                                                                                                         REVISÓ
                                                                        </t>
  </si>
  <si>
    <t xml:space="preserve">        FECHA DE REVISIÓN 11/07/2022</t>
  </si>
  <si>
    <t>APROBÓ</t>
  </si>
  <si>
    <t>REPRESENTANTE DE CAPACITACIÓN</t>
  </si>
  <si>
    <t>COMISIÓN AUXILIAR MISTA DE CAPACITACIÓN Y ADIESTRAMIENTO</t>
  </si>
  <si>
    <t>9MK3N</t>
  </si>
  <si>
    <t>CREDITOS</t>
  </si>
  <si>
    <t>PORCENTAJE DE AVANCE:</t>
  </si>
  <si>
    <t>de 100%</t>
  </si>
  <si>
    <t xml:space="preserve">NOMBRE: </t>
  </si>
  <si>
    <t xml:space="preserve">CLAVE    </t>
  </si>
  <si>
    <t>DESCRIPCIÓN</t>
  </si>
  <si>
    <r>
      <rPr>
        <b/>
        <sz val="8.5"/>
        <rFont val="Arial mT"/>
      </rPr>
      <t xml:space="preserve">PUESTO: </t>
    </r>
    <r>
      <rPr>
        <sz val="8.5"/>
        <rFont val="Arial MT"/>
      </rPr>
      <t xml:space="preserve">
</t>
    </r>
  </si>
  <si>
    <t>TOTAL DE CURSOS DE BATERIA</t>
  </si>
  <si>
    <t>TOTAL CURSO DEL TRABAJADOR</t>
  </si>
  <si>
    <t>de 43</t>
  </si>
  <si>
    <t>TRABAJOS EN ALTURAS, ACTIVIDADES QUE SALVAN VIDAS Y AISLADO SOBRE AISLADO</t>
  </si>
  <si>
    <t>ANALISIS DE RIESGO EN SITIO Y REUNION DE INICIO DE MANIOBRA (ARS-RIM)</t>
  </si>
  <si>
    <t>PRIMEROS AUXILIOS</t>
  </si>
  <si>
    <r>
      <rPr>
        <sz val="6"/>
        <rFont val="Arial MT"/>
        <family val="2"/>
      </rPr>
      <t>CALIDAD EN EL SERVICIO</t>
    </r>
  </si>
  <si>
    <r>
      <rPr>
        <sz val="6"/>
        <rFont val="Arial MT"/>
        <family val="2"/>
      </rPr>
      <t>AHORRO   Y   USO   EFICIENTE   DE   LA   ENERGÍA ELÉCTRICA</t>
    </r>
  </si>
  <si>
    <r>
      <rPr>
        <sz val="6"/>
        <rFont val="Arial MT"/>
        <family val="2"/>
      </rPr>
      <t>PROGRAMA  INTEGRAL  PARA  LA  PREVENCIÓN  DE ACCIDENTES GRAVES</t>
    </r>
  </si>
  <si>
    <r>
      <rPr>
        <sz val="6"/>
        <rFont val="Arial MT"/>
        <family val="2"/>
      </rPr>
      <t>PRIMEROS AUXILIOS</t>
    </r>
  </si>
  <si>
    <r>
      <rPr>
        <sz val="6"/>
        <rFont val="Arial MT"/>
        <family val="2"/>
      </rPr>
      <t>MANEJO A LA DEFENSIVA</t>
    </r>
  </si>
  <si>
    <r>
      <rPr>
        <sz val="6"/>
        <rFont val="Arial MT"/>
        <family val="2"/>
      </rPr>
      <t>PRINCIPIOS PARA EL COMBATE DE INCENDIOS Y USO DE EXTINTORES</t>
    </r>
  </si>
  <si>
    <r>
      <rPr>
        <sz val="6"/>
        <rFont val="Arial MT"/>
        <family val="2"/>
      </rPr>
      <t>PROCEDIMIENTOS  DE  SEGURIDAD  DEL  SISTEMA INTEGRAL DE GESTIÓN</t>
    </r>
  </si>
  <si>
    <r>
      <rPr>
        <sz val="6"/>
        <rFont val="Arial MT"/>
        <family val="2"/>
      </rPr>
      <t>TRABAJOS EN ESPACIOS CONFINADOS</t>
    </r>
  </si>
  <si>
    <r>
      <rPr>
        <sz val="6"/>
        <rFont val="Arial MT"/>
        <family val="2"/>
      </rPr>
      <t>COMISIONES DE SEGURIDAD E HIGIENE</t>
    </r>
  </si>
  <si>
    <r>
      <rPr>
        <sz val="6"/>
        <rFont val="Arial MT"/>
        <family val="2"/>
      </rPr>
      <t>ANALISIS DE RIESGO EN SITIO Y REUNION DE INICIO DE MANIOBRA (ARS-RIM)</t>
    </r>
  </si>
  <si>
    <r>
      <rPr>
        <sz val="6"/>
        <rFont val="Arial MT"/>
        <family val="2"/>
      </rPr>
      <t>PROCEDIMIENTO  N-4001-701  SUPERVISIONES  DE CAMPO</t>
    </r>
  </si>
  <si>
    <r>
      <rPr>
        <sz val="6"/>
        <rFont val="Arial MT"/>
        <family val="2"/>
      </rPr>
      <t>PROCEDIMIENTO N-4001-716 CERO TOLERANCIA</t>
    </r>
  </si>
  <si>
    <r>
      <rPr>
        <sz val="6"/>
        <rFont val="Arial MT"/>
        <family val="2"/>
      </rPr>
      <t>ELECTRICIDAD BASICA</t>
    </r>
  </si>
  <si>
    <r>
      <rPr>
        <sz val="6"/>
        <rFont val="Arial MT"/>
        <family val="2"/>
      </rPr>
      <t>INTERPRETACIÓN  DE  DIAGRAMAS  UNIFILARES  DE SUBESTACIONES</t>
    </r>
  </si>
  <si>
    <r>
      <rPr>
        <sz val="6"/>
        <rFont val="Arial MT"/>
        <family val="2"/>
      </rPr>
      <t>MANIOBRAS EN SUBESTACIONES</t>
    </r>
  </si>
  <si>
    <t>CALIFICACIÓN</t>
  </si>
  <si>
    <t>DTC3399701</t>
  </si>
  <si>
    <t>DTC3414001</t>
  </si>
  <si>
    <t>DTC3414701</t>
  </si>
  <si>
    <t>DTC3414901</t>
  </si>
  <si>
    <t>DTC3414501</t>
  </si>
  <si>
    <t>DTC3414801</t>
  </si>
  <si>
    <t>DTC3415001</t>
  </si>
  <si>
    <t>DTC3415201</t>
  </si>
  <si>
    <t>DTC3426201</t>
  </si>
  <si>
    <t>DTC3415301</t>
  </si>
  <si>
    <t>DTC3415401</t>
  </si>
  <si>
    <t>DTC3415601</t>
  </si>
  <si>
    <t>DTC3415801</t>
  </si>
  <si>
    <t>DTC3416001</t>
  </si>
  <si>
    <t>DTC3321301</t>
  </si>
  <si>
    <t>DTC3415501</t>
  </si>
  <si>
    <t>DTC3409701</t>
  </si>
  <si>
    <t>DTC3413501</t>
  </si>
  <si>
    <t>DTC3409901</t>
  </si>
  <si>
    <t>INDUCCIÓN A CFE SUTERM</t>
  </si>
  <si>
    <t>INDUCCIÓN AL SISTEMA INTEGRAL      DE GESTIÓN (PROCEDIMIENTOS DEL SISTEMA INTEGRAL DE GESTION)</t>
  </si>
  <si>
    <t>ÉTICA COPORATIVA E INTEGRIDAD PÚBLICA</t>
  </si>
  <si>
    <t>INDUCCIÓN A LA LEGISLACIÓN DEL SECTOR ELÉCTRICO (LEY DE LA INDUSTRIA ELÉCTRICA Y SU REGLAMENTO, LEY</t>
  </si>
  <si>
    <t>AHORRO Y USO EFICIENTE DE LA ENERGÍA ELÉCTRICA</t>
  </si>
  <si>
    <t>PROGRAMA INTEGRAL PARA LA PREVENCIÓN DE ACCIDENTES GRAVES</t>
  </si>
  <si>
    <t>REGLAMENTO DE SEGURIDAD E HIGIENE CAPITULO 100</t>
  </si>
  <si>
    <t>PROCEDIMIENTOS DE SEGURIDAD DEL SISTEMA INTEGRAL DE GESTIÓN</t>
  </si>
  <si>
    <t>COMISIONES DE SEGURIDAD E HIGIENE</t>
  </si>
  <si>
    <t>PRINCIPIOS PARA EL COMBATE DE INCENDIOS Y USO DE EXTINTORES</t>
  </si>
  <si>
    <t>CALIDAD DE VIDA Y SALUD EN EL TRABAJO</t>
  </si>
  <si>
    <t>ADMINISTRACION DEL TIEMPO</t>
  </si>
  <si>
    <t>COMPORTAMIENTO PROACTIVO EN EL TRABAJO</t>
  </si>
  <si>
    <t>DTC3426101</t>
  </si>
  <si>
    <t>DTC3418201</t>
  </si>
  <si>
    <t>DTC3423501</t>
  </si>
  <si>
    <t>DTC3421501</t>
  </si>
  <si>
    <t>DTC3416301</t>
  </si>
  <si>
    <t>DTC3421301</t>
  </si>
  <si>
    <t>DTC3421901</t>
  </si>
  <si>
    <t>DTC3416401</t>
  </si>
  <si>
    <t>DTC3416501</t>
  </si>
  <si>
    <t>TARIFAS ELÉCTRICAS I</t>
  </si>
  <si>
    <t>TARIFAS ELÉCTRICAS II</t>
  </si>
  <si>
    <t>CONOCIMIENTOS Y NORMAS DE ELECTRICIDAD BÁSICA</t>
  </si>
  <si>
    <t>CENSO DE ALUMBRADO PÚBLICO Y CARGAS DIRECTAS A LA RED</t>
  </si>
  <si>
    <t>TOMA DE LECTURA EN MEDIDORES DE ENERGÍA ELÉCTRICA</t>
  </si>
  <si>
    <t>ANOMALÍAS DE LOS CENTROS DE CARGA</t>
  </si>
  <si>
    <t>REPARTO DE AVISO RECIBO</t>
  </si>
  <si>
    <t>SUSPENSIÓN, RECONEXIÓN Y DESCONEXIÓN DEL SERVICIO DE ENERGÍA ELÉCTRICA</t>
  </si>
  <si>
    <t>PROCEDIMIENTO DE PRUEBAS A EQUIPOS DE MEDICIÓN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</si>
</sst>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1">
    <font>
      <sz val="10"/>
      <color rgb="FF000000"/>
      <name val="Times New Roman"/>
      <charset val="204"/>
    </font>
    <font>
      <sz val="11"/>
      <color theme="1"/>
      <name val="Helvetica LT Std Cond"/>
      <family val="2"/>
    </font>
    <font>
      <sz val="8"/>
      <color rgb="FF000000"/>
      <name val="Arial MT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8.5"/>
      <name val="Arial"/>
      <family val="2"/>
    </font>
    <font>
      <sz val="8.5"/>
      <name val="Arial MT"/>
    </font>
    <font>
      <sz val="8.5"/>
      <color rgb="FF000000"/>
      <name val="Arial MT"/>
      <family val="2"/>
    </font>
    <font>
      <b/>
      <sz val="7.5"/>
      <name val="Arial"/>
      <family val="2"/>
    </font>
    <font>
      <sz val="7.5"/>
      <name val="Arial MT"/>
    </font>
    <font>
      <sz val="8.5"/>
      <name val="Arial MT"/>
      <family val="2"/>
    </font>
    <font>
      <sz val="7.5"/>
      <name val="Arial MT"/>
      <family val="2"/>
    </font>
    <font>
      <b/>
      <sz val="7.5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sz val="10"/>
      <color theme="1"/>
      <name val="Times New Roman"/>
      <family val="1"/>
    </font>
    <font>
      <sz val="11"/>
      <name val="Calibri"/>
      <family val="2"/>
    </font>
    <font>
      <b/>
      <sz val="7.5"/>
      <name val="Arial MT"/>
    </font>
    <font>
      <sz val="7.5"/>
      <color rgb="FF000000"/>
      <name val="Arial mT"/>
    </font>
    <font>
      <sz val="11"/>
      <name val="Calibri"/>
      <family val="2"/>
    </font>
    <font>
      <b/>
      <sz val="8.5"/>
      <name val="Arial mT"/>
    </font>
    <font>
      <sz val="8.5"/>
      <color rgb="FF000000"/>
      <name val="Arial mT"/>
    </font>
    <font>
      <b/>
      <sz val="8.5"/>
      <color rgb="FF000000"/>
      <name val="Arial mT"/>
    </font>
    <font>
      <sz val="10"/>
      <color rgb="FF000000"/>
      <name val="Times New Roman"/>
      <family val="1"/>
    </font>
    <font>
      <sz val="7.5"/>
      <color theme="0"/>
      <name val="Arial MT"/>
    </font>
    <font>
      <sz val="7.5"/>
      <color rgb="FFFF0000"/>
      <name val="Arial MT"/>
    </font>
    <font>
      <b/>
      <sz val="8"/>
      <name val="Arial MT"/>
    </font>
    <font>
      <sz val="6"/>
      <color rgb="FF000000"/>
      <name val="Arial MT"/>
      <family val="2"/>
    </font>
    <font>
      <sz val="6"/>
      <name val="Arial MT"/>
    </font>
    <font>
      <sz val="6"/>
      <name val="Arial MT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19" fillId="0" borderId="0"/>
    <xf numFmtId="0" fontId="1" fillId="0" borderId="0"/>
  </cellStyleXfs>
  <cellXfs count="79">
    <xf numFmtId="0" fontId="0" fillId="0" borderId="0" xfId="0" applyAlignment="1">
      <alignment horizontal="left" vertical="top"/>
    </xf>
    <xf numFmtId="0" fontId="5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64" fontId="7" fillId="0" borderId="0" xfId="0" applyNumberFormat="1" applyFont="1" applyAlignment="1">
      <alignment horizontal="left" vertical="top" shrinkToFit="1"/>
    </xf>
    <xf numFmtId="1" fontId="7" fillId="0" borderId="0" xfId="0" applyNumberFormat="1" applyFont="1" applyAlignment="1">
      <alignment horizontal="left" vertical="top" shrinkToFit="1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top" wrapText="1" indent="5"/>
    </xf>
    <xf numFmtId="0" fontId="8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 indent="3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top" wrapText="1" indent="5"/>
    </xf>
    <xf numFmtId="0" fontId="9" fillId="0" borderId="0" xfId="0" applyFont="1" applyAlignment="1">
      <alignment horizontal="right" vertical="top" wrapText="1" inden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7" fillId="0" borderId="0" xfId="0" applyNumberFormat="1" applyFont="1" applyAlignment="1">
      <alignment vertical="top" shrinkToFit="1"/>
    </xf>
    <xf numFmtId="0" fontId="8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2" borderId="0" xfId="0" applyFont="1" applyFill="1" applyAlignment="1">
      <alignment horizontal="center" vertical="top" wrapText="1"/>
    </xf>
    <xf numFmtId="0" fontId="15" fillId="3" borderId="4" xfId="0" applyFont="1" applyFill="1" applyBorder="1" applyAlignment="1">
      <alignment horizontal="left" vertical="top"/>
    </xf>
    <xf numFmtId="0" fontId="15" fillId="3" borderId="5" xfId="0" applyFont="1" applyFill="1" applyBorder="1" applyAlignment="1">
      <alignment horizontal="left" vertical="top"/>
    </xf>
    <xf numFmtId="0" fontId="14" fillId="3" borderId="5" xfId="0" applyFont="1" applyFill="1" applyBorder="1" applyAlignment="1">
      <alignment horizontal="center" vertical="top"/>
    </xf>
    <xf numFmtId="0" fontId="15" fillId="3" borderId="6" xfId="0" applyFont="1" applyFill="1" applyBorder="1" applyAlignment="1">
      <alignment horizontal="left" vertical="top"/>
    </xf>
    <xf numFmtId="49" fontId="9" fillId="0" borderId="0" xfId="0" applyNumberFormat="1" applyFont="1" applyAlignment="1">
      <alignment horizontal="right" vertical="top" wrapText="1"/>
    </xf>
    <xf numFmtId="0" fontId="16" fillId="0" borderId="0" xfId="1"/>
    <xf numFmtId="1" fontId="16" fillId="0" borderId="0" xfId="1" applyNumberFormat="1"/>
    <xf numFmtId="0" fontId="0" fillId="4" borderId="0" xfId="0" applyFill="1" applyAlignment="1">
      <alignment horizontal="left" vertical="top"/>
    </xf>
    <xf numFmtId="0" fontId="17" fillId="4" borderId="0" xfId="0" applyFont="1" applyFill="1" applyAlignment="1">
      <alignment vertical="top" wrapText="1"/>
    </xf>
    <xf numFmtId="0" fontId="9" fillId="4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18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shrinkToFit="1"/>
    </xf>
    <xf numFmtId="0" fontId="22" fillId="0" borderId="0" xfId="0" applyFont="1" applyAlignment="1">
      <alignment horizontal="left" vertical="top"/>
    </xf>
    <xf numFmtId="0" fontId="21" fillId="0" borderId="0" xfId="0" applyFont="1" applyAlignment="1">
      <alignment vertical="top" wrapText="1"/>
    </xf>
    <xf numFmtId="0" fontId="23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 wrapText="1" indent="3"/>
    </xf>
    <xf numFmtId="0" fontId="17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25" fillId="0" borderId="0" xfId="0" applyFont="1" applyAlignment="1">
      <alignment horizontal="right" vertical="top" wrapText="1"/>
    </xf>
    <xf numFmtId="0" fontId="25" fillId="0" borderId="0" xfId="0" applyFont="1" applyAlignment="1">
      <alignment horizontal="left" vertical="top" wrapText="1"/>
    </xf>
    <xf numFmtId="10" fontId="26" fillId="4" borderId="0" xfId="0" applyNumberFormat="1" applyFont="1" applyFill="1" applyAlignment="1">
      <alignment horizontal="right" vertical="top" wrapText="1"/>
    </xf>
    <xf numFmtId="0" fontId="26" fillId="4" borderId="0" xfId="0" applyFont="1" applyFill="1" applyAlignment="1">
      <alignment vertical="top" wrapText="1"/>
    </xf>
    <xf numFmtId="0" fontId="6" fillId="0" borderId="0" xfId="1" applyFont="1" applyAlignment="1">
      <alignment horizontal="center" vertical="top"/>
    </xf>
    <xf numFmtId="1" fontId="7" fillId="0" borderId="0" xfId="0" applyNumberFormat="1" applyFont="1" applyAlignment="1">
      <alignment horizontal="center" vertical="top" shrinkToFit="1"/>
    </xf>
    <xf numFmtId="0" fontId="10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0" fillId="0" borderId="0" xfId="0" applyFont="1" applyAlignment="1">
      <alignment horizontal="center" vertical="top" wrapText="1"/>
    </xf>
    <xf numFmtId="1" fontId="27" fillId="0" borderId="0" xfId="0" applyNumberFormat="1" applyFont="1" applyAlignment="1">
      <alignment horizontal="left" vertical="top" indent="1" shrinkToFit="1"/>
    </xf>
    <xf numFmtId="0" fontId="28" fillId="0" borderId="0" xfId="0" applyFont="1" applyAlignment="1">
      <alignment vertical="top" wrapText="1"/>
    </xf>
    <xf numFmtId="0" fontId="29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14" fontId="18" fillId="0" borderId="0" xfId="0" applyNumberFormat="1" applyFont="1" applyAlignment="1">
      <alignment horizontal="center" vertical="center" wrapText="1"/>
    </xf>
    <xf numFmtId="14" fontId="24" fillId="0" borderId="0" xfId="0" applyNumberFormat="1" applyFont="1" applyAlignment="1">
      <alignment horizontal="center" vertical="center" wrapText="1"/>
    </xf>
    <xf numFmtId="1" fontId="24" fillId="0" borderId="0" xfId="0" applyNumberFormat="1" applyFont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top" wrapText="1"/>
    </xf>
    <xf numFmtId="0" fontId="17" fillId="4" borderId="0" xfId="0" applyFont="1" applyFill="1" applyAlignment="1">
      <alignment horizontal="left" vertical="top" wrapText="1"/>
    </xf>
    <xf numFmtId="0" fontId="14" fillId="3" borderId="1" xfId="0" applyFont="1" applyFill="1" applyBorder="1" applyAlignment="1">
      <alignment horizontal="center" vertical="top" wrapText="1"/>
    </xf>
    <xf numFmtId="0" fontId="14" fillId="3" borderId="2" xfId="0" applyFont="1" applyFill="1" applyBorder="1" applyAlignment="1">
      <alignment horizontal="center" vertical="top" wrapText="1"/>
    </xf>
    <xf numFmtId="0" fontId="14" fillId="3" borderId="3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164" fontId="7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" fontId="7" fillId="0" borderId="0" xfId="0" applyNumberFormat="1" applyFont="1" applyAlignment="1">
      <alignment vertical="top" shrinkToFit="1"/>
    </xf>
    <xf numFmtId="0" fontId="5" fillId="0" borderId="0" xfId="0" applyFont="1" applyAlignment="1">
      <alignment vertical="top" wrapText="1"/>
    </xf>
    <xf numFmtId="1" fontId="30" fillId="0" borderId="0" xfId="0" applyNumberFormat="1" applyFont="1" applyAlignment="1">
      <alignment horizontal="center" vertical="center" shrinkToFit="1"/>
    </xf>
    <xf numFmtId="0" fontId="0" fillId="0" borderId="0" xfId="0" applyAlignment="1">
      <alignment horizontal="right" vertical="top"/>
    </xf>
    <xf numFmtId="0" fontId="6" fillId="0" borderId="0" xfId="0" applyFont="1" applyAlignment="1">
      <alignment horizontal="right" vertical="top" wrapText="1"/>
    </xf>
    <xf numFmtId="0" fontId="20" fillId="0" borderId="0" xfId="0" applyFont="1" applyAlignment="1">
      <alignment horizontal="right" vertical="top" wrapText="1"/>
    </xf>
  </cellXfs>
  <cellStyles count="4">
    <cellStyle name="Normal" xfId="0" builtinId="0"/>
    <cellStyle name="Normal 2" xfId="1" xr:uid="{A60453A5-E870-40A2-A22E-1208F9972FBC}"/>
    <cellStyle name="Normal 2 2" xfId="2" xr:uid="{7BCC071E-6487-4ED2-A72A-3DFBF8C39C80}"/>
    <cellStyle name="Normal 3" xfId="3" xr:uid="{E0FA6076-B846-4644-84C1-F8CBFABF87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23494</xdr:colOff>
      <xdr:row>0</xdr:row>
      <xdr:rowOff>12700</xdr:rowOff>
    </xdr:from>
    <xdr:ext cx="1148423" cy="4191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4" y="12700"/>
          <a:ext cx="1148423" cy="419100"/>
        </a:xfrm>
        <a:prstGeom prst="rect">
          <a:avLst/>
        </a:prstGeom>
      </xdr:spPr>
    </xdr:pic>
    <xdr:clientData/>
  </xdr:oneCellAnchor>
  <xdr:oneCellAnchor>
    <xdr:from>
      <xdr:col>0</xdr:col>
      <xdr:colOff>23494</xdr:colOff>
      <xdr:row>52</xdr:row>
      <xdr:rowOff>12700</xdr:rowOff>
    </xdr:from>
    <xdr:ext cx="1148423" cy="419100"/>
    <xdr:pic>
      <xdr:nvPicPr>
        <xdr:cNvPr id="3" name="image1.jpeg">
          <a:extLst>
            <a:ext uri="{FF2B5EF4-FFF2-40B4-BE49-F238E27FC236}">
              <a16:creationId xmlns:a16="http://schemas.microsoft.com/office/drawing/2014/main" id="{03BA877B-B1A3-4B20-96FE-70D94C3A4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4" y="12700"/>
          <a:ext cx="1148423" cy="419100"/>
        </a:xfrm>
        <a:prstGeom prst="rect">
          <a:avLst/>
        </a:prstGeom>
      </xdr:spPr>
    </xdr:pic>
    <xdr:clientData/>
  </xdr:oneCellAnchor>
  <xdr:twoCellAnchor editAs="oneCell">
    <xdr:from>
      <xdr:col>6</xdr:col>
      <xdr:colOff>279400</xdr:colOff>
      <xdr:row>0</xdr:row>
      <xdr:rowOff>25401</xdr:rowOff>
    </xdr:from>
    <xdr:to>
      <xdr:col>7</xdr:col>
      <xdr:colOff>669638</xdr:colOff>
      <xdr:row>3</xdr:row>
      <xdr:rowOff>79759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287CE99-EE76-66A7-88C6-9345707A1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40450" y="25401"/>
          <a:ext cx="1190338" cy="543308"/>
        </a:xfrm>
        <a:prstGeom prst="rect">
          <a:avLst/>
        </a:prstGeom>
      </xdr:spPr>
    </xdr:pic>
    <xdr:clientData/>
  </xdr:twoCellAnchor>
  <xdr:twoCellAnchor editAs="oneCell">
    <xdr:from>
      <xdr:col>6</xdr:col>
      <xdr:colOff>279400</xdr:colOff>
      <xdr:row>51</xdr:row>
      <xdr:rowOff>57150</xdr:rowOff>
    </xdr:from>
    <xdr:to>
      <xdr:col>7</xdr:col>
      <xdr:colOff>669638</xdr:colOff>
      <xdr:row>54</xdr:row>
      <xdr:rowOff>105159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1F58694-E29B-4728-8A79-22CD60894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40450" y="9550400"/>
          <a:ext cx="1190338" cy="543308"/>
        </a:xfrm>
        <a:prstGeom prst="rect">
          <a:avLst/>
        </a:prstGeom>
      </xdr:spPr>
    </xdr:pic>
    <xdr:clientData/>
  </xdr:twoCellAnchor>
  <xdr:oneCellAnchor>
    <xdr:from>
      <xdr:col>0</xdr:col>
      <xdr:colOff>23494</xdr:colOff>
      <xdr:row>104</xdr:row>
      <xdr:rowOff>12700</xdr:rowOff>
    </xdr:from>
    <xdr:ext cx="1148423" cy="419100"/>
    <xdr:pic>
      <xdr:nvPicPr>
        <xdr:cNvPr id="7" name="image1.jpeg">
          <a:extLst>
            <a:ext uri="{FF2B5EF4-FFF2-40B4-BE49-F238E27FC236}">
              <a16:creationId xmlns:a16="http://schemas.microsoft.com/office/drawing/2014/main" id="{5E36CAB7-C2DE-4C97-8C32-20504E63D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4" y="9613900"/>
          <a:ext cx="1148423" cy="419100"/>
        </a:xfrm>
        <a:prstGeom prst="rect">
          <a:avLst/>
        </a:prstGeom>
      </xdr:spPr>
    </xdr:pic>
    <xdr:clientData/>
  </xdr:oneCellAnchor>
  <xdr:oneCellAnchor>
    <xdr:from>
      <xdr:col>6</xdr:col>
      <xdr:colOff>279400</xdr:colOff>
      <xdr:row>103</xdr:row>
      <xdr:rowOff>57150</xdr:rowOff>
    </xdr:from>
    <xdr:ext cx="1190338" cy="543308"/>
    <xdr:pic>
      <xdr:nvPicPr>
        <xdr:cNvPr id="8" name="Imagen 7">
          <a:extLst>
            <a:ext uri="{FF2B5EF4-FFF2-40B4-BE49-F238E27FC236}">
              <a16:creationId xmlns:a16="http://schemas.microsoft.com/office/drawing/2014/main" id="{796BB5D9-87BE-447B-8CF5-D59D653EE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67450" y="9493250"/>
          <a:ext cx="1190338" cy="5433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2"/>
  <sheetViews>
    <sheetView tabSelected="1" view="pageBreakPreview" topLeftCell="A71" zoomScale="136" zoomScaleNormal="100" zoomScaleSheetLayoutView="136" workbookViewId="0">
      <selection activeCell="C69" sqref="C69:C77"/>
    </sheetView>
  </sheetViews>
  <sheetFormatPr baseColWidth="10" defaultColWidth="8.83203125" defaultRowHeight="12.75"/>
  <cols>
    <col min="1" max="1" width="4.1640625" customWidth="1"/>
    <col min="2" max="2" width="8.83203125" customWidth="1"/>
    <col min="3" max="3" width="33.6640625" customWidth="1"/>
    <col min="4" max="4" width="17.83203125" customWidth="1"/>
    <col min="5" max="5" width="9.83203125" customWidth="1"/>
    <col min="6" max="6" width="15.6640625" customWidth="1"/>
    <col min="7" max="7" width="12.6640625" customWidth="1"/>
    <col min="8" max="8" width="12.83203125" customWidth="1"/>
    <col min="9" max="9" width="16.33203125" customWidth="1"/>
  </cols>
  <sheetData>
    <row r="1" spans="1:9" ht="12.6" customHeight="1">
      <c r="A1" s="68" t="s">
        <v>0</v>
      </c>
      <c r="B1" s="68"/>
      <c r="C1" s="68"/>
      <c r="D1" s="68"/>
      <c r="E1" s="68"/>
      <c r="F1" s="68"/>
      <c r="G1" s="68"/>
      <c r="H1" s="68"/>
    </row>
    <row r="2" spans="1:9">
      <c r="A2" s="68"/>
      <c r="B2" s="68"/>
      <c r="C2" s="68"/>
      <c r="D2" s="68"/>
      <c r="E2" s="68"/>
      <c r="F2" s="68"/>
      <c r="G2" s="68"/>
      <c r="H2" s="68"/>
    </row>
    <row r="3" spans="1:9">
      <c r="G3" s="31"/>
      <c r="H3" s="33"/>
    </row>
    <row r="4" spans="1:9" ht="12.95" customHeight="1">
      <c r="A4" s="69" t="s">
        <v>1</v>
      </c>
      <c r="B4" s="69"/>
      <c r="C4" s="69"/>
      <c r="D4" s="69"/>
      <c r="E4" s="69"/>
      <c r="F4" s="69"/>
      <c r="G4" s="69"/>
      <c r="H4" s="69"/>
      <c r="I4" s="15"/>
    </row>
    <row r="6" spans="1:9" ht="14.1" customHeight="1">
      <c r="A6" s="70" t="s">
        <v>2</v>
      </c>
      <c r="B6" s="70"/>
      <c r="C6" s="70"/>
      <c r="D6" s="70"/>
      <c r="E6" s="70"/>
      <c r="F6" s="70"/>
      <c r="G6" s="70"/>
      <c r="H6" s="70"/>
      <c r="I6" s="14"/>
    </row>
    <row r="8" spans="1:9" ht="23.1" customHeight="1">
      <c r="A8" s="66" t="s">
        <v>31</v>
      </c>
      <c r="B8" s="66"/>
      <c r="C8" s="16" t="e">
        <f>VLOOKUP(E8,#REF!,2,0)</f>
        <v>#REF!</v>
      </c>
      <c r="D8" s="1" t="s">
        <v>3</v>
      </c>
      <c r="E8" s="44" t="s">
        <v>27</v>
      </c>
      <c r="F8" s="64" t="s">
        <v>4</v>
      </c>
      <c r="G8" s="64"/>
      <c r="H8" s="3" t="e">
        <f>VLOOKUP(E8,#REF!,16,0)</f>
        <v>#REF!</v>
      </c>
    </row>
    <row r="9" spans="1:9">
      <c r="A9" s="76"/>
      <c r="B9" s="76"/>
    </row>
    <row r="10" spans="1:9" ht="24.95" customHeight="1">
      <c r="A10" s="77" t="s">
        <v>34</v>
      </c>
      <c r="B10" s="77"/>
      <c r="C10" s="73" t="e">
        <f>VLOOKUP(E8,#REF!,3,0)</f>
        <v>#REF!</v>
      </c>
      <c r="D10" s="2" t="s">
        <v>5</v>
      </c>
      <c r="E10" s="45" t="e">
        <f>VLOOKUP(E8,#REF!,9,0)</f>
        <v>#REF!</v>
      </c>
      <c r="F10" s="64" t="s">
        <v>6</v>
      </c>
      <c r="G10" s="64"/>
      <c r="H10" s="4" t="e">
        <f>VLOOKUP(E8,#REF!,15,0)</f>
        <v>#REF!</v>
      </c>
    </row>
    <row r="11" spans="1:9" ht="12.95" customHeight="1">
      <c r="A11" s="76"/>
      <c r="B11" s="78" t="s">
        <v>32</v>
      </c>
      <c r="D11" s="34" t="s">
        <v>33</v>
      </c>
    </row>
    <row r="12" spans="1:9" ht="12.75" customHeight="1">
      <c r="A12" s="66" t="s">
        <v>15</v>
      </c>
      <c r="B12" s="66"/>
      <c r="C12" s="74"/>
      <c r="D12" s="66" t="s">
        <v>16</v>
      </c>
      <c r="E12" s="66"/>
      <c r="F12" s="67" t="e">
        <f>VLOOKUP(E8,#REF!,6,0)</f>
        <v>#REF!</v>
      </c>
      <c r="G12" s="67"/>
      <c r="H12" s="67"/>
      <c r="I12" s="16"/>
    </row>
    <row r="15" spans="1:9" ht="19.5">
      <c r="A15" s="5" t="s">
        <v>7</v>
      </c>
      <c r="B15" s="71" t="s">
        <v>11</v>
      </c>
      <c r="C15" s="71"/>
      <c r="D15" s="72" t="s">
        <v>8</v>
      </c>
      <c r="E15" s="71" t="s">
        <v>19</v>
      </c>
      <c r="F15" s="71"/>
      <c r="G15" s="72" t="s">
        <v>56</v>
      </c>
      <c r="H15" s="72" t="s">
        <v>10</v>
      </c>
    </row>
    <row r="16" spans="1:9" ht="23.45" customHeight="1">
      <c r="A16" s="5"/>
      <c r="B16" s="17"/>
      <c r="C16" s="17" t="s">
        <v>17</v>
      </c>
      <c r="D16" s="6"/>
      <c r="E16" s="17" t="s">
        <v>18</v>
      </c>
      <c r="F16" s="20" t="s">
        <v>20</v>
      </c>
      <c r="G16" s="7"/>
      <c r="H16" s="7"/>
    </row>
    <row r="17" spans="1:9" ht="15">
      <c r="A17" s="8">
        <v>1</v>
      </c>
      <c r="B17" s="75" t="s">
        <v>57</v>
      </c>
      <c r="C17" s="50" t="s">
        <v>76</v>
      </c>
      <c r="D17" s="18"/>
      <c r="E17" s="19"/>
      <c r="F17" s="53" t="e">
        <f>VLOOKUP(#REF!,#REF!,5,0)</f>
        <v>#REF!</v>
      </c>
      <c r="G17" s="32" t="e">
        <f>VLOOKUP(#REF!,#REF!,6,0)</f>
        <v>#REF!</v>
      </c>
      <c r="H17" s="11"/>
      <c r="I17" s="26"/>
    </row>
    <row r="18" spans="1:9" ht="24.75">
      <c r="A18" s="8">
        <v>2</v>
      </c>
      <c r="B18" s="75" t="s">
        <v>58</v>
      </c>
      <c r="C18" s="50" t="s">
        <v>77</v>
      </c>
      <c r="D18" s="18"/>
      <c r="E18" s="19"/>
      <c r="F18" s="53" t="e">
        <f>VLOOKUP(#REF!,#REF!,5,0)</f>
        <v>#REF!</v>
      </c>
      <c r="G18" s="32" t="e">
        <f>VLOOKUP(#REF!,#REF!,6,0)</f>
        <v>#REF!</v>
      </c>
      <c r="H18" s="11"/>
      <c r="I18" s="26"/>
    </row>
    <row r="19" spans="1:9" ht="15">
      <c r="A19" s="8">
        <v>3</v>
      </c>
      <c r="B19" s="75" t="s">
        <v>59</v>
      </c>
      <c r="C19" s="50" t="s">
        <v>12</v>
      </c>
      <c r="D19" s="18"/>
      <c r="E19" s="19"/>
      <c r="F19" s="54" t="e">
        <f>VLOOKUP(#REF!,#REF!,5,0)</f>
        <v>#REF!</v>
      </c>
      <c r="G19" s="55" t="e">
        <f>VLOOKUP(#REF!,#REF!,6,0)</f>
        <v>#REF!</v>
      </c>
      <c r="H19" s="11"/>
      <c r="I19" s="26"/>
    </row>
    <row r="20" spans="1:9" ht="15">
      <c r="A20" s="8">
        <v>4</v>
      </c>
      <c r="B20" s="75" t="s">
        <v>60</v>
      </c>
      <c r="C20" s="50" t="s">
        <v>13</v>
      </c>
      <c r="D20" s="18"/>
      <c r="E20" s="19"/>
      <c r="F20" s="54" t="e">
        <f>VLOOKUP(#REF!,#REF!,5,0)</f>
        <v>#REF!</v>
      </c>
      <c r="G20" s="55" t="e">
        <f>VLOOKUP(#REF!,#REF!,6,0)</f>
        <v>#REF!</v>
      </c>
      <c r="H20" s="11"/>
      <c r="I20" s="26"/>
    </row>
    <row r="21" spans="1:9" ht="15">
      <c r="A21" s="8">
        <v>5</v>
      </c>
      <c r="B21" s="75" t="s">
        <v>61</v>
      </c>
      <c r="C21" s="50" t="s">
        <v>78</v>
      </c>
      <c r="D21" s="18"/>
      <c r="E21" s="19"/>
      <c r="F21" s="54" t="e">
        <f>VLOOKUP(#REF!,#REF!,5,0)</f>
        <v>#REF!</v>
      </c>
      <c r="G21" s="55" t="e">
        <f>VLOOKUP(#REF!,#REF!,6,0)</f>
        <v>#REF!</v>
      </c>
      <c r="H21" s="11"/>
      <c r="I21" s="26"/>
    </row>
    <row r="22" spans="1:9" ht="24.75">
      <c r="A22" s="8">
        <v>6</v>
      </c>
      <c r="B22" s="75" t="s">
        <v>62</v>
      </c>
      <c r="C22" s="50" t="s">
        <v>79</v>
      </c>
      <c r="D22" s="18"/>
      <c r="E22" s="19"/>
      <c r="F22" s="54" t="e">
        <f>VLOOKUP(#REF!,#REF!,5,0)</f>
        <v>#REF!</v>
      </c>
      <c r="G22" s="55" t="e">
        <f>VLOOKUP(#REF!,#REF!,6,0)</f>
        <v>#REF!</v>
      </c>
      <c r="H22" s="11"/>
      <c r="I22" s="26"/>
    </row>
    <row r="23" spans="1:9" ht="16.5">
      <c r="A23" s="8">
        <v>7</v>
      </c>
      <c r="B23" s="75" t="s">
        <v>63</v>
      </c>
      <c r="C23" s="50" t="s">
        <v>80</v>
      </c>
      <c r="D23" s="18"/>
      <c r="E23" s="19"/>
      <c r="F23" s="54" t="e">
        <f>VLOOKUP(#REF!,#REF!,5,0)</f>
        <v>#REF!</v>
      </c>
      <c r="G23" s="55" t="e">
        <f>VLOOKUP(#REF!,#REF!,6,0)</f>
        <v>#REF!</v>
      </c>
      <c r="H23" s="11"/>
      <c r="I23" s="26"/>
    </row>
    <row r="24" spans="1:9" ht="16.5">
      <c r="A24" s="8">
        <v>8</v>
      </c>
      <c r="B24" s="75" t="s">
        <v>64</v>
      </c>
      <c r="C24" s="50" t="s">
        <v>81</v>
      </c>
      <c r="D24" s="18"/>
      <c r="E24" s="19"/>
      <c r="F24" s="53" t="e">
        <f>VLOOKUP(#REF!,#REF!,5,0)</f>
        <v>#REF!</v>
      </c>
      <c r="G24" s="32" t="e">
        <f>VLOOKUP(#REF!,#REF!,6,0)</f>
        <v>#REF!</v>
      </c>
      <c r="H24" s="11"/>
      <c r="I24" s="26"/>
    </row>
    <row r="25" spans="1:9" ht="16.5">
      <c r="A25" s="8">
        <v>9</v>
      </c>
      <c r="B25" s="75" t="s">
        <v>65</v>
      </c>
      <c r="C25" s="50" t="s">
        <v>82</v>
      </c>
      <c r="D25" s="18"/>
      <c r="E25" s="19"/>
      <c r="F25" s="53" t="e">
        <f>VLOOKUP(#REF!,#REF!,5,0)</f>
        <v>#REF!</v>
      </c>
      <c r="G25" s="32" t="e">
        <f>VLOOKUP(#REF!,#REF!,6,0)</f>
        <v>#REF!</v>
      </c>
      <c r="H25" s="11"/>
      <c r="I25" s="26"/>
    </row>
    <row r="26" spans="1:9" ht="15">
      <c r="A26" s="8">
        <v>10</v>
      </c>
      <c r="B26" s="75" t="s">
        <v>66</v>
      </c>
      <c r="C26" s="50" t="s">
        <v>40</v>
      </c>
      <c r="D26" s="18"/>
      <c r="E26" s="19"/>
      <c r="F26" s="53" t="e">
        <f>VLOOKUP(#REF!,#REF!,5,0)</f>
        <v>#REF!</v>
      </c>
      <c r="G26" s="32" t="e">
        <f>VLOOKUP(#REF!,#REF!,6,0)</f>
        <v>#REF!</v>
      </c>
      <c r="H26" s="11"/>
      <c r="I26" s="26"/>
    </row>
    <row r="27" spans="1:9" ht="15">
      <c r="A27" s="8">
        <v>11</v>
      </c>
      <c r="B27" s="75" t="s">
        <v>67</v>
      </c>
      <c r="C27" s="50" t="s">
        <v>14</v>
      </c>
      <c r="D27" s="18"/>
      <c r="E27" s="19"/>
      <c r="F27" s="54" t="e">
        <f>VLOOKUP(#REF!,#REF!,5,0)</f>
        <v>#REF!</v>
      </c>
      <c r="G27" s="55" t="e">
        <f>VLOOKUP(#REF!,#REF!,6,0)</f>
        <v>#REF!</v>
      </c>
      <c r="H27" s="11"/>
      <c r="I27" s="26"/>
    </row>
    <row r="28" spans="1:9" ht="16.5">
      <c r="A28" s="8">
        <v>12</v>
      </c>
      <c r="B28" s="75" t="s">
        <v>68</v>
      </c>
      <c r="C28" s="50" t="s">
        <v>83</v>
      </c>
      <c r="D28" s="13"/>
      <c r="E28" s="11"/>
      <c r="F28" s="54" t="e">
        <f>VLOOKUP(#REF!,#REF!,5,0)</f>
        <v>#REF!</v>
      </c>
      <c r="G28" s="55" t="e">
        <f>VLOOKUP(#REF!,#REF!,6,0)</f>
        <v>#REF!</v>
      </c>
      <c r="H28" s="11"/>
    </row>
    <row r="29" spans="1:9">
      <c r="A29" s="8">
        <v>13</v>
      </c>
      <c r="B29" s="75" t="s">
        <v>69</v>
      </c>
      <c r="C29" s="50" t="s">
        <v>84</v>
      </c>
      <c r="D29" s="13"/>
      <c r="E29" s="11"/>
      <c r="F29" s="54" t="e">
        <f>VLOOKUP(#REF!,#REF!,5,0)</f>
        <v>#REF!</v>
      </c>
      <c r="G29" s="55" t="e">
        <f>VLOOKUP(#REF!,#REF!,6,0)</f>
        <v>#REF!</v>
      </c>
      <c r="H29" s="11"/>
    </row>
    <row r="30" spans="1:9" ht="16.5">
      <c r="A30" s="8">
        <v>14</v>
      </c>
      <c r="B30" s="75" t="s">
        <v>70</v>
      </c>
      <c r="C30" s="50" t="s">
        <v>39</v>
      </c>
      <c r="D30" s="13"/>
      <c r="E30" s="11"/>
      <c r="F30" s="54" t="e">
        <f>VLOOKUP(#REF!,#REF!,5,0)</f>
        <v>#REF!</v>
      </c>
      <c r="G30" s="55" t="e">
        <f>VLOOKUP(#REF!,#REF!,6,0)</f>
        <v>#REF!</v>
      </c>
    </row>
    <row r="31" spans="1:9" ht="16.5">
      <c r="A31" s="8">
        <v>15</v>
      </c>
      <c r="B31" s="75" t="s">
        <v>71</v>
      </c>
      <c r="C31" s="51" t="s">
        <v>38</v>
      </c>
      <c r="F31" s="53" t="e">
        <f>VLOOKUP(#REF!,#REF!,5,0)</f>
        <v>#REF!</v>
      </c>
      <c r="G31" s="32" t="e">
        <f>VLOOKUP(#REF!,#REF!,6,0)</f>
        <v>#REF!</v>
      </c>
    </row>
    <row r="32" spans="1:9" ht="16.5">
      <c r="A32" s="8">
        <v>16</v>
      </c>
      <c r="B32" s="75" t="s">
        <v>72</v>
      </c>
      <c r="C32" s="52" t="s">
        <v>85</v>
      </c>
      <c r="F32" s="54" t="e">
        <f>VLOOKUP(#REF!,#REF!,5,0)</f>
        <v>#REF!</v>
      </c>
      <c r="G32" s="55" t="e">
        <f>VLOOKUP(#REF!,#REF!,6,0)</f>
        <v>#REF!</v>
      </c>
    </row>
    <row r="33" spans="1:9">
      <c r="A33" s="8">
        <v>17</v>
      </c>
      <c r="B33" s="75" t="s">
        <v>73</v>
      </c>
      <c r="C33" s="52" t="s">
        <v>86</v>
      </c>
      <c r="F33" s="54" t="e">
        <f>VLOOKUP(#REF!,#REF!,5,0)</f>
        <v>#REF!</v>
      </c>
      <c r="G33" s="55" t="e">
        <f>VLOOKUP(#REF!,#REF!,6,0)</f>
        <v>#REF!</v>
      </c>
    </row>
    <row r="34" spans="1:9">
      <c r="A34" s="8">
        <v>18</v>
      </c>
      <c r="B34" s="75" t="s">
        <v>74</v>
      </c>
      <c r="C34" s="50" t="s">
        <v>87</v>
      </c>
      <c r="F34" s="53" t="e">
        <f>VLOOKUP(#REF!,#REF!,5,0)</f>
        <v>#REF!</v>
      </c>
      <c r="G34" s="32" t="e">
        <f>VLOOKUP(#REF!,#REF!,6,0)</f>
        <v>#REF!</v>
      </c>
    </row>
    <row r="35" spans="1:9" ht="16.5">
      <c r="A35" s="8">
        <v>19</v>
      </c>
      <c r="B35" s="75" t="s">
        <v>75</v>
      </c>
      <c r="C35" s="50" t="s">
        <v>88</v>
      </c>
      <c r="F35" s="54" t="e">
        <f>VLOOKUP(#REF!,#REF!,5,0)</f>
        <v>#REF!</v>
      </c>
      <c r="G35" s="55" t="e">
        <f>VLOOKUP(#REF!,#REF!,6,0)</f>
        <v>#REF!</v>
      </c>
    </row>
    <row r="37" spans="1:9" ht="74.099999999999994" customHeight="1">
      <c r="A37" s="60" t="s">
        <v>22</v>
      </c>
      <c r="B37" s="61"/>
      <c r="C37" s="61"/>
      <c r="D37" s="61"/>
      <c r="E37" s="61"/>
      <c r="F37" s="61"/>
      <c r="G37" s="61"/>
      <c r="H37" s="62"/>
      <c r="I37" s="26"/>
    </row>
    <row r="38" spans="1:9" ht="15">
      <c r="A38" s="21"/>
      <c r="B38" s="22"/>
      <c r="C38" s="23" t="s">
        <v>21</v>
      </c>
      <c r="D38" s="22"/>
      <c r="E38" s="56" t="s">
        <v>23</v>
      </c>
      <c r="F38" s="56"/>
      <c r="G38" s="56"/>
      <c r="H38" s="24"/>
      <c r="I38" s="26"/>
    </row>
    <row r="39" spans="1:9" ht="18.600000000000001" customHeight="1">
      <c r="I39" s="26"/>
    </row>
    <row r="40" spans="1:9" ht="15">
      <c r="C40" s="57" t="s">
        <v>24</v>
      </c>
      <c r="D40" s="57"/>
      <c r="E40" s="57"/>
      <c r="F40" s="57"/>
      <c r="I40" s="26"/>
    </row>
    <row r="41" spans="1:9" ht="15">
      <c r="I41" s="26"/>
    </row>
    <row r="44" spans="1:9">
      <c r="C44" s="57" t="s">
        <v>25</v>
      </c>
      <c r="D44" s="57"/>
      <c r="E44" s="57"/>
      <c r="F44" s="57"/>
    </row>
    <row r="48" spans="1:9">
      <c r="C48" s="57" t="s">
        <v>26</v>
      </c>
      <c r="D48" s="57"/>
      <c r="E48" s="57"/>
      <c r="F48" s="57"/>
    </row>
    <row r="53" spans="1:11" ht="12.95" customHeight="1">
      <c r="A53" s="68" t="s">
        <v>0</v>
      </c>
      <c r="B53" s="68"/>
      <c r="C53" s="68"/>
      <c r="D53" s="68"/>
      <c r="E53" s="68"/>
      <c r="F53" s="68"/>
      <c r="G53" s="68"/>
      <c r="H53" s="68"/>
    </row>
    <row r="54" spans="1:11">
      <c r="A54" s="68"/>
      <c r="B54" s="68"/>
      <c r="C54" s="68"/>
      <c r="D54" s="68"/>
      <c r="E54" s="68"/>
      <c r="F54" s="68"/>
      <c r="G54" s="68"/>
      <c r="H54" s="68"/>
    </row>
    <row r="55" spans="1:11">
      <c r="G55" s="31"/>
      <c r="H55" s="33"/>
    </row>
    <row r="56" spans="1:11">
      <c r="A56" s="69" t="s">
        <v>1</v>
      </c>
      <c r="B56" s="69"/>
      <c r="C56" s="69"/>
      <c r="D56" s="69"/>
      <c r="E56" s="69"/>
      <c r="F56" s="69"/>
      <c r="G56" s="69"/>
      <c r="H56" s="69"/>
    </row>
    <row r="57" spans="1:11" ht="15">
      <c r="K57" s="27"/>
    </row>
    <row r="58" spans="1:11" ht="15">
      <c r="A58" s="70" t="s">
        <v>2</v>
      </c>
      <c r="B58" s="70"/>
      <c r="C58" s="70"/>
      <c r="D58" s="70"/>
      <c r="E58" s="70"/>
      <c r="F58" s="70"/>
      <c r="G58" s="70"/>
      <c r="H58" s="70"/>
      <c r="K58" s="26"/>
    </row>
    <row r="59" spans="1:11" ht="15">
      <c r="K59" s="26"/>
    </row>
    <row r="60" spans="1:11" ht="21.95" customHeight="1">
      <c r="A60" s="65" t="s">
        <v>31</v>
      </c>
      <c r="B60" s="65"/>
      <c r="C60" s="3"/>
      <c r="D60" s="1" t="s">
        <v>3</v>
      </c>
      <c r="E60" s="46" t="str">
        <f>+E8</f>
        <v>9MK3N</v>
      </c>
      <c r="F60" s="64" t="s">
        <v>4</v>
      </c>
      <c r="G60" s="64"/>
      <c r="H60" s="3" t="e">
        <f>VLOOKUP(E60,#REF!,16,0)</f>
        <v>#REF!</v>
      </c>
      <c r="K60" s="26"/>
    </row>
    <row r="61" spans="1:11" ht="15">
      <c r="E61" s="47"/>
      <c r="K61" s="26"/>
    </row>
    <row r="62" spans="1:11" ht="21.95" customHeight="1">
      <c r="A62" s="63" t="s">
        <v>34</v>
      </c>
      <c r="B62" s="63"/>
      <c r="C62" s="35" t="e">
        <f>VLOOKUP(E60,#REF!,4,0)</f>
        <v>#REF!</v>
      </c>
      <c r="D62" s="2" t="s">
        <v>5</v>
      </c>
      <c r="E62" s="45" t="e">
        <f>VLOOKUP(E60,#REF!,9,0)</f>
        <v>#REF!</v>
      </c>
      <c r="F62" s="64" t="s">
        <v>6</v>
      </c>
      <c r="G62" s="64"/>
      <c r="H62" s="4" t="e">
        <f>VLOOKUP(E60,#REF!,15,0)</f>
        <v>#REF!</v>
      </c>
      <c r="K62" s="26"/>
    </row>
    <row r="63" spans="1:11" ht="22.5">
      <c r="B63" s="48" t="s">
        <v>32</v>
      </c>
      <c r="C63" s="34" t="s">
        <v>33</v>
      </c>
      <c r="K63" s="26"/>
    </row>
    <row r="64" spans="1:11" ht="14.45" customHeight="1">
      <c r="A64" s="65" t="s">
        <v>15</v>
      </c>
      <c r="B64" s="65"/>
      <c r="C64" s="65"/>
      <c r="D64" s="66" t="s">
        <v>16</v>
      </c>
      <c r="E64" s="66"/>
      <c r="F64" s="67" t="e">
        <f>VLOOKUP(E60,#REF!,6,0)</f>
        <v>#REF!</v>
      </c>
      <c r="G64" s="67"/>
      <c r="H64" s="67"/>
      <c r="K64" s="26"/>
    </row>
    <row r="65" spans="1:11" ht="15">
      <c r="K65" s="26"/>
    </row>
    <row r="66" spans="1:11" ht="15">
      <c r="K66" s="27"/>
    </row>
    <row r="67" spans="1:11" ht="19.5">
      <c r="A67" s="5" t="s">
        <v>7</v>
      </c>
      <c r="B67" s="58" t="s">
        <v>11</v>
      </c>
      <c r="C67" s="58"/>
      <c r="D67" s="7" t="s">
        <v>8</v>
      </c>
      <c r="E67" s="58" t="s">
        <v>19</v>
      </c>
      <c r="F67" s="58"/>
      <c r="G67" s="7" t="s">
        <v>9</v>
      </c>
      <c r="H67" s="7" t="s">
        <v>10</v>
      </c>
      <c r="K67" s="26"/>
    </row>
    <row r="68" spans="1:11" ht="19.5">
      <c r="A68" s="5"/>
      <c r="B68" s="17"/>
      <c r="C68" s="17" t="s">
        <v>17</v>
      </c>
      <c r="D68" s="6"/>
      <c r="E68" s="17" t="s">
        <v>18</v>
      </c>
      <c r="F68" s="20" t="s">
        <v>20</v>
      </c>
      <c r="G68" s="7"/>
      <c r="H68" s="7"/>
      <c r="K68" s="26"/>
    </row>
    <row r="69" spans="1:11" ht="15">
      <c r="A69" s="8">
        <v>20</v>
      </c>
      <c r="B69" s="49" t="s">
        <v>89</v>
      </c>
      <c r="C69" s="50" t="s">
        <v>98</v>
      </c>
      <c r="D69" s="18"/>
      <c r="E69" s="19"/>
      <c r="F69" s="54" t="e">
        <f>VLOOKUP(#REF!,#REF!,5,0)</f>
        <v>#REF!</v>
      </c>
      <c r="G69" s="55" t="e">
        <f>VLOOKUP(#REF!,#REF!,6,0)</f>
        <v>#REF!</v>
      </c>
      <c r="H69" s="11"/>
      <c r="I69" s="26"/>
      <c r="K69" s="26"/>
    </row>
    <row r="70" spans="1:11" ht="15">
      <c r="A70" s="8">
        <v>21</v>
      </c>
      <c r="B70" s="49" t="s">
        <v>90</v>
      </c>
      <c r="C70" s="52" t="s">
        <v>99</v>
      </c>
      <c r="D70" s="18"/>
      <c r="E70" s="19"/>
      <c r="F70" s="54" t="e">
        <f>VLOOKUP(#REF!,#REF!,5,0)</f>
        <v>#REF!</v>
      </c>
      <c r="G70" s="55" t="e">
        <f>VLOOKUP(#REF!,#REF!,6,0)</f>
        <v>#REF!</v>
      </c>
      <c r="H70" s="11"/>
      <c r="I70" s="26"/>
      <c r="K70" s="26"/>
    </row>
    <row r="71" spans="1:11" ht="16.5">
      <c r="A71" s="8">
        <v>22</v>
      </c>
      <c r="B71" s="49" t="s">
        <v>91</v>
      </c>
      <c r="C71" s="50" t="s">
        <v>100</v>
      </c>
      <c r="D71" s="18"/>
      <c r="E71" s="19"/>
      <c r="F71" s="54" t="e">
        <f>VLOOKUP(#REF!,#REF!,5,0)</f>
        <v>#REF!</v>
      </c>
      <c r="G71" s="55" t="e">
        <f>VLOOKUP(#REF!,#REF!,6,0)</f>
        <v>#REF!</v>
      </c>
      <c r="H71" s="11"/>
      <c r="I71" s="26"/>
      <c r="K71" s="26"/>
    </row>
    <row r="72" spans="1:11" ht="16.5">
      <c r="A72" s="8">
        <v>23</v>
      </c>
      <c r="B72" s="49" t="s">
        <v>92</v>
      </c>
      <c r="C72" s="50" t="s">
        <v>101</v>
      </c>
      <c r="D72" s="18"/>
      <c r="E72" s="19"/>
      <c r="F72" s="54" t="e">
        <f>VLOOKUP(#REF!,#REF!,5,0)</f>
        <v>#REF!</v>
      </c>
      <c r="G72" s="55" t="e">
        <f>VLOOKUP(#REF!,#REF!,6,0)</f>
        <v>#REF!</v>
      </c>
      <c r="H72" s="11"/>
      <c r="I72" s="26"/>
      <c r="K72" s="26"/>
    </row>
    <row r="73" spans="1:11" ht="16.5">
      <c r="A73" s="8">
        <v>24</v>
      </c>
      <c r="B73" s="49" t="s">
        <v>93</v>
      </c>
      <c r="C73" s="50" t="s">
        <v>102</v>
      </c>
      <c r="D73" s="18"/>
      <c r="E73" s="19"/>
      <c r="F73" s="53" t="e">
        <f>VLOOKUP(#REF!,#REF!,5,0)</f>
        <v>#REF!</v>
      </c>
      <c r="G73" s="32" t="e">
        <f>VLOOKUP(#REF!,#REF!,6,0)</f>
        <v>#REF!</v>
      </c>
      <c r="H73" s="11"/>
      <c r="I73" s="26"/>
      <c r="K73" s="26"/>
    </row>
    <row r="74" spans="1:11" ht="24.95" customHeight="1">
      <c r="A74" s="8">
        <v>25</v>
      </c>
      <c r="B74" s="49" t="s">
        <v>94</v>
      </c>
      <c r="C74" s="50" t="s">
        <v>103</v>
      </c>
      <c r="D74" s="18"/>
      <c r="E74" s="19"/>
      <c r="F74" s="54" t="e">
        <f>VLOOKUP(#REF!,#REF!,5,0)</f>
        <v>#REF!</v>
      </c>
      <c r="G74" s="55" t="e">
        <f>VLOOKUP(#REF!,#REF!,6,0)</f>
        <v>#REF!</v>
      </c>
      <c r="H74" s="11"/>
      <c r="I74" s="26"/>
      <c r="K74" s="26"/>
    </row>
    <row r="75" spans="1:11" ht="23.45" customHeight="1">
      <c r="A75" s="8">
        <v>26</v>
      </c>
      <c r="B75" s="49" t="s">
        <v>95</v>
      </c>
      <c r="C75" s="50" t="s">
        <v>104</v>
      </c>
      <c r="D75" s="18"/>
      <c r="E75" s="19"/>
      <c r="F75" s="53" t="e">
        <f>VLOOKUP(#REF!,#REF!,5,0)</f>
        <v>#REF!</v>
      </c>
      <c r="G75" s="32" t="e">
        <f>VLOOKUP(#REF!,#REF!,6,0)</f>
        <v>#REF!</v>
      </c>
      <c r="H75" s="11"/>
      <c r="I75" s="26"/>
      <c r="K75" s="26"/>
    </row>
    <row r="76" spans="1:11" ht="16.5">
      <c r="A76" s="8">
        <v>27</v>
      </c>
      <c r="B76" s="49" t="s">
        <v>96</v>
      </c>
      <c r="C76" s="50" t="s">
        <v>105</v>
      </c>
      <c r="D76" s="18"/>
      <c r="E76" s="19"/>
      <c r="F76" s="53" t="e">
        <f>VLOOKUP(#REF!,#REF!,5,0)</f>
        <v>#REF!</v>
      </c>
      <c r="G76" s="32" t="e">
        <f>VLOOKUP(#REF!,#REF!,6,0)</f>
        <v>#REF!</v>
      </c>
      <c r="H76" s="11"/>
      <c r="I76" s="26"/>
      <c r="K76" s="26"/>
    </row>
    <row r="77" spans="1:11" ht="16.5">
      <c r="A77" s="8">
        <v>28</v>
      </c>
      <c r="B77" s="49" t="s">
        <v>97</v>
      </c>
      <c r="C77" s="50" t="s">
        <v>106</v>
      </c>
      <c r="D77" s="18"/>
      <c r="E77" s="19"/>
      <c r="F77" s="54" t="e">
        <f>VLOOKUP(#REF!,#REF!,5,0)</f>
        <v>#REF!</v>
      </c>
      <c r="G77" s="55" t="e">
        <f>VLOOKUP(#REF!,#REF!,6,0)</f>
        <v>#REF!</v>
      </c>
      <c r="H77" s="11"/>
      <c r="I77" s="26"/>
      <c r="K77" s="26"/>
    </row>
    <row r="78" spans="1:11" ht="15">
      <c r="A78" s="8">
        <v>29</v>
      </c>
      <c r="B78" s="49" t="e">
        <f>MID(#REF!,1,6)</f>
        <v>#REF!</v>
      </c>
      <c r="C78" s="50" t="s">
        <v>41</v>
      </c>
      <c r="D78" s="18"/>
      <c r="E78" s="19"/>
      <c r="F78" s="53" t="e">
        <f>VLOOKUP(#REF!,#REF!,5,0)</f>
        <v>#REF!</v>
      </c>
      <c r="G78" s="32" t="e">
        <f>VLOOKUP(#REF!,#REF!,6,0)</f>
        <v>#REF!</v>
      </c>
      <c r="H78" s="11"/>
      <c r="I78" s="26"/>
      <c r="K78" s="26"/>
    </row>
    <row r="79" spans="1:11" ht="16.5">
      <c r="A79" s="8">
        <v>30</v>
      </c>
      <c r="B79" s="49" t="e">
        <f>MID(#REF!,1,6)</f>
        <v>#REF!</v>
      </c>
      <c r="C79" s="50" t="s">
        <v>42</v>
      </c>
      <c r="D79" s="18"/>
      <c r="E79" s="19"/>
      <c r="F79" s="54" t="e">
        <f>VLOOKUP(#REF!,#REF!,5,0)</f>
        <v>#REF!</v>
      </c>
      <c r="G79" s="55" t="e">
        <f>VLOOKUP(#REF!,#REF!,6,0)</f>
        <v>#REF!</v>
      </c>
      <c r="H79" s="11"/>
      <c r="I79" s="26"/>
      <c r="K79" s="26"/>
    </row>
    <row r="80" spans="1:11" ht="16.5">
      <c r="A80" s="8">
        <v>31</v>
      </c>
      <c r="B80" s="49" t="e">
        <f>MID(#REF!,1,6)</f>
        <v>#REF!</v>
      </c>
      <c r="C80" s="50" t="s">
        <v>43</v>
      </c>
      <c r="D80" s="18"/>
      <c r="E80" s="19"/>
      <c r="F80" s="53" t="e">
        <f>VLOOKUP(#REF!,#REF!,5,0)</f>
        <v>#REF!</v>
      </c>
      <c r="G80" s="32" t="e">
        <f>VLOOKUP(#REF!,#REF!,6,0)</f>
        <v>#REF!</v>
      </c>
      <c r="H80" s="11"/>
      <c r="I80" s="26"/>
      <c r="K80" s="26"/>
    </row>
    <row r="81" spans="1:11" ht="15">
      <c r="A81" s="8">
        <v>32</v>
      </c>
      <c r="B81" s="49" t="e">
        <f>MID(#REF!,1,6)</f>
        <v>#REF!</v>
      </c>
      <c r="C81" s="50" t="s">
        <v>44</v>
      </c>
      <c r="D81" s="18"/>
      <c r="E81" s="19"/>
      <c r="F81" s="53" t="e">
        <f>VLOOKUP(#REF!,#REF!,5,0)</f>
        <v>#REF!</v>
      </c>
      <c r="G81" s="32" t="e">
        <f>VLOOKUP(#REF!,#REF!,6,0)</f>
        <v>#REF!</v>
      </c>
      <c r="H81" s="11"/>
      <c r="I81" s="26"/>
      <c r="K81" s="26"/>
    </row>
    <row r="82" spans="1:11">
      <c r="A82" s="8">
        <v>33</v>
      </c>
      <c r="B82" s="49" t="e">
        <f>MID(#REF!,1,6)</f>
        <v>#REF!</v>
      </c>
      <c r="C82" s="50" t="s">
        <v>45</v>
      </c>
      <c r="D82" s="38"/>
      <c r="E82" s="37">
        <v>19</v>
      </c>
      <c r="F82" s="53" t="e">
        <f>VLOOKUP(#REF!,#REF!,5,0)</f>
        <v>#REF!</v>
      </c>
      <c r="G82" s="32" t="e">
        <f>VLOOKUP(#REF!,#REF!,6,0)</f>
        <v>#REF!</v>
      </c>
      <c r="H82" s="11"/>
    </row>
    <row r="83" spans="1:11" ht="16.5">
      <c r="A83" s="8">
        <v>34</v>
      </c>
      <c r="B83" s="49" t="e">
        <f>MID(#REF!,1,6)</f>
        <v>#REF!</v>
      </c>
      <c r="C83" s="50" t="s">
        <v>46</v>
      </c>
      <c r="D83" s="39"/>
      <c r="F83" s="54" t="e">
        <f>VLOOKUP(#REF!,#REF!,5,0)</f>
        <v>#REF!</v>
      </c>
      <c r="G83" s="55" t="e">
        <f>VLOOKUP(#REF!,#REF!,6,0)</f>
        <v>#REF!</v>
      </c>
      <c r="H83" s="11"/>
    </row>
    <row r="84" spans="1:11" ht="16.5">
      <c r="A84" s="8">
        <v>35</v>
      </c>
      <c r="B84" s="49" t="e">
        <f>MID(#REF!,1,6)</f>
        <v>#REF!</v>
      </c>
      <c r="C84" s="50" t="s">
        <v>47</v>
      </c>
      <c r="D84" s="9"/>
      <c r="E84" s="10"/>
      <c r="F84" s="54" t="e">
        <f>VLOOKUP(#REF!,#REF!,5,0)</f>
        <v>#REF!</v>
      </c>
      <c r="G84" s="55" t="e">
        <f>VLOOKUP(#REF!,#REF!,6,0)</f>
        <v>#REF!</v>
      </c>
      <c r="H84" s="11"/>
    </row>
    <row r="85" spans="1:11">
      <c r="A85" s="8">
        <v>36</v>
      </c>
      <c r="B85" s="49" t="e">
        <f>MID(#REF!,1,6)</f>
        <v>#REF!</v>
      </c>
      <c r="C85" s="50" t="s">
        <v>48</v>
      </c>
      <c r="D85" s="9"/>
      <c r="E85" s="10"/>
      <c r="F85" s="54" t="e">
        <f>VLOOKUP(#REF!,#REF!,5,0)</f>
        <v>#REF!</v>
      </c>
      <c r="G85" s="55" t="e">
        <f>VLOOKUP(#REF!,#REF!,6,0)</f>
        <v>#REF!</v>
      </c>
      <c r="H85" s="11"/>
    </row>
    <row r="86" spans="1:11">
      <c r="A86" s="8">
        <v>37</v>
      </c>
      <c r="B86" s="49" t="e">
        <f>MID(#REF!,1,6)</f>
        <v>#REF!</v>
      </c>
      <c r="C86" s="50" t="s">
        <v>49</v>
      </c>
      <c r="D86" s="12"/>
      <c r="E86" s="11"/>
      <c r="F86" s="54" t="e">
        <f>VLOOKUP(#REF!,#REF!,5,0)</f>
        <v>#REF!</v>
      </c>
      <c r="G86" s="55" t="e">
        <f>VLOOKUP(#REF!,#REF!,6,0)</f>
        <v>#REF!</v>
      </c>
      <c r="H86" s="11"/>
    </row>
    <row r="87" spans="1:11" ht="16.5">
      <c r="A87" s="8">
        <v>38</v>
      </c>
      <c r="B87" s="49" t="e">
        <f>MID(#REF!,1,6)</f>
        <v>#REF!</v>
      </c>
      <c r="C87" s="50" t="s">
        <v>50</v>
      </c>
      <c r="D87" s="12"/>
      <c r="E87" s="11"/>
      <c r="F87" s="53" t="e">
        <f>VLOOKUP(#REF!,#REF!,5,0)</f>
        <v>#REF!</v>
      </c>
      <c r="G87" s="32" t="e">
        <f>VLOOKUP(#REF!,#REF!,6,0)</f>
        <v>#REF!</v>
      </c>
      <c r="H87" s="11"/>
    </row>
    <row r="88" spans="1:11">
      <c r="A88" s="8"/>
      <c r="B88" s="25"/>
      <c r="C88" s="9"/>
      <c r="D88" s="12"/>
      <c r="E88" s="11"/>
      <c r="F88" s="11"/>
      <c r="G88" s="11"/>
      <c r="H88" s="11"/>
    </row>
    <row r="89" spans="1:11" ht="69.95" customHeight="1">
      <c r="A89" s="60" t="s">
        <v>22</v>
      </c>
      <c r="B89" s="61"/>
      <c r="C89" s="61"/>
      <c r="D89" s="61"/>
      <c r="E89" s="61"/>
      <c r="F89" s="61"/>
      <c r="G89" s="61"/>
      <c r="H89" s="62"/>
      <c r="K89" s="26"/>
    </row>
    <row r="90" spans="1:11" ht="15">
      <c r="A90" s="21"/>
      <c r="B90" s="22"/>
      <c r="C90" s="23" t="s">
        <v>21</v>
      </c>
      <c r="D90" s="22"/>
      <c r="E90" s="56" t="s">
        <v>23</v>
      </c>
      <c r="F90" s="56"/>
      <c r="G90" s="56"/>
      <c r="H90" s="24"/>
      <c r="K90" s="26"/>
    </row>
    <row r="91" spans="1:11" ht="15">
      <c r="K91" s="26"/>
    </row>
    <row r="92" spans="1:11" ht="15">
      <c r="C92" s="57" t="s">
        <v>24</v>
      </c>
      <c r="D92" s="57"/>
      <c r="E92" s="57"/>
      <c r="F92" s="57"/>
      <c r="K92" s="26"/>
    </row>
    <row r="93" spans="1:11" ht="15">
      <c r="K93" s="26"/>
    </row>
    <row r="94" spans="1:11" ht="15">
      <c r="K94" s="26"/>
    </row>
    <row r="96" spans="1:11">
      <c r="C96" s="57" t="s">
        <v>25</v>
      </c>
      <c r="D96" s="57"/>
      <c r="E96" s="57"/>
      <c r="F96" s="57"/>
    </row>
    <row r="100" spans="1:8">
      <c r="C100" s="57" t="s">
        <v>26</v>
      </c>
      <c r="D100" s="57"/>
      <c r="E100" s="57"/>
      <c r="F100" s="57"/>
    </row>
    <row r="105" spans="1:8">
      <c r="A105" s="68" t="s">
        <v>0</v>
      </c>
      <c r="B105" s="68"/>
      <c r="C105" s="68"/>
      <c r="D105" s="68"/>
      <c r="E105" s="68"/>
      <c r="F105" s="68"/>
      <c r="G105" s="68"/>
      <c r="H105" s="68"/>
    </row>
    <row r="106" spans="1:8">
      <c r="A106" s="68"/>
      <c r="B106" s="68"/>
      <c r="C106" s="68"/>
      <c r="D106" s="68"/>
      <c r="E106" s="68"/>
      <c r="F106" s="68"/>
      <c r="G106" s="68"/>
      <c r="H106" s="68"/>
    </row>
    <row r="107" spans="1:8">
      <c r="G107" s="31"/>
      <c r="H107" s="33"/>
    </row>
    <row r="108" spans="1:8">
      <c r="A108" s="69" t="s">
        <v>1</v>
      </c>
      <c r="B108" s="69"/>
      <c r="C108" s="69"/>
      <c r="D108" s="69"/>
      <c r="E108" s="69"/>
      <c r="F108" s="69"/>
      <c r="G108" s="69"/>
      <c r="H108" s="69"/>
    </row>
    <row r="110" spans="1:8" ht="15">
      <c r="A110" s="70" t="s">
        <v>2</v>
      </c>
      <c r="B110" s="70"/>
      <c r="C110" s="70"/>
      <c r="D110" s="70"/>
      <c r="E110" s="70"/>
      <c r="F110" s="70"/>
      <c r="G110" s="70"/>
      <c r="H110" s="70"/>
    </row>
    <row r="112" spans="1:8" ht="24.95" customHeight="1">
      <c r="A112" s="65" t="s">
        <v>31</v>
      </c>
      <c r="B112" s="65"/>
      <c r="C112" s="3"/>
      <c r="D112" s="1" t="s">
        <v>3</v>
      </c>
      <c r="E112" s="46" t="str">
        <f>+E60</f>
        <v>9MK3N</v>
      </c>
      <c r="F112" s="64" t="s">
        <v>4</v>
      </c>
      <c r="G112" s="64"/>
      <c r="H112" s="3" t="e">
        <f>VLOOKUP(E112,#REF!,16,0)</f>
        <v>#REF!</v>
      </c>
    </row>
    <row r="113" spans="1:10">
      <c r="E113" s="47"/>
    </row>
    <row r="114" spans="1:10" ht="21.95" customHeight="1">
      <c r="A114" s="63" t="s">
        <v>34</v>
      </c>
      <c r="B114" s="63"/>
      <c r="C114" s="35" t="e">
        <f>VLOOKUP(E112,#REF!,4,0)</f>
        <v>#REF!</v>
      </c>
      <c r="D114" s="2" t="s">
        <v>5</v>
      </c>
      <c r="E114" s="45" t="e">
        <f>VLOOKUP(E112,#REF!,9,0)</f>
        <v>#REF!</v>
      </c>
      <c r="F114" s="64" t="s">
        <v>6</v>
      </c>
      <c r="G114" s="64"/>
      <c r="H114" s="4" t="e">
        <f>VLOOKUP(E112,#REF!,15,0)</f>
        <v>#REF!</v>
      </c>
    </row>
    <row r="115" spans="1:10" ht="22.5">
      <c r="B115" s="48" t="s">
        <v>32</v>
      </c>
      <c r="C115" s="34" t="s">
        <v>33</v>
      </c>
    </row>
    <row r="116" spans="1:10" ht="12.95" customHeight="1">
      <c r="A116" s="65" t="s">
        <v>15</v>
      </c>
      <c r="B116" s="65"/>
      <c r="C116" s="65"/>
      <c r="D116" s="66" t="s">
        <v>16</v>
      </c>
      <c r="E116" s="66"/>
      <c r="F116" s="67" t="e">
        <f>VLOOKUP(E112,#REF!,6,0)</f>
        <v>#REF!</v>
      </c>
      <c r="G116" s="67"/>
      <c r="H116" s="67"/>
    </row>
    <row r="119" spans="1:10" ht="19.5">
      <c r="A119" s="5" t="s">
        <v>7</v>
      </c>
      <c r="B119" s="58" t="s">
        <v>11</v>
      </c>
      <c r="C119" s="58"/>
      <c r="D119" s="7" t="s">
        <v>8</v>
      </c>
      <c r="E119" s="58" t="s">
        <v>19</v>
      </c>
      <c r="F119" s="58"/>
      <c r="G119" s="7" t="s">
        <v>9</v>
      </c>
      <c r="H119" s="7" t="s">
        <v>10</v>
      </c>
    </row>
    <row r="120" spans="1:10" ht="19.5">
      <c r="A120" s="5"/>
      <c r="B120" s="17"/>
      <c r="C120" s="17" t="s">
        <v>17</v>
      </c>
      <c r="D120" s="6"/>
      <c r="E120" s="17" t="s">
        <v>18</v>
      </c>
      <c r="F120" s="20" t="s">
        <v>20</v>
      </c>
      <c r="G120" s="7"/>
      <c r="H120" s="7"/>
    </row>
    <row r="121" spans="1:10" ht="16.5">
      <c r="A121" s="8">
        <v>39</v>
      </c>
      <c r="B121" s="49" t="e">
        <f>MID(#REF!,1,6)</f>
        <v>#REF!</v>
      </c>
      <c r="C121" s="50" t="s">
        <v>51</v>
      </c>
      <c r="D121" s="18"/>
      <c r="E121" s="19"/>
      <c r="F121" s="54" t="e">
        <f>VLOOKUP(#REF!,#REF!,5,0)</f>
        <v>#REF!</v>
      </c>
      <c r="G121" s="55" t="e">
        <f>VLOOKUP(#REF!,#REF!,6,0)</f>
        <v>#REF!</v>
      </c>
      <c r="H121" s="11"/>
      <c r="I121" s="26"/>
    </row>
    <row r="122" spans="1:10" ht="15">
      <c r="A122" s="8">
        <v>40</v>
      </c>
      <c r="B122" s="49" t="e">
        <f>MID(#REF!,1,6)</f>
        <v>#REF!</v>
      </c>
      <c r="C122" s="50" t="s">
        <v>52</v>
      </c>
      <c r="D122" s="18"/>
      <c r="E122" s="19"/>
      <c r="F122" s="54" t="e">
        <f>VLOOKUP(#REF!,#REF!,5,0)</f>
        <v>#REF!</v>
      </c>
      <c r="G122" s="55" t="e">
        <f>VLOOKUP(#REF!,#REF!,6,0)</f>
        <v>#REF!</v>
      </c>
      <c r="H122" s="11"/>
      <c r="I122" s="26"/>
    </row>
    <row r="123" spans="1:10" ht="15">
      <c r="A123" s="8">
        <v>41</v>
      </c>
      <c r="B123" s="49" t="e">
        <f>MID(#REF!,1,6)</f>
        <v>#REF!</v>
      </c>
      <c r="C123" s="50" t="s">
        <v>53</v>
      </c>
      <c r="D123" s="18"/>
      <c r="E123" s="19"/>
      <c r="F123" s="53" t="e">
        <f>VLOOKUP(#REF!,#REF!,5,0)</f>
        <v>#REF!</v>
      </c>
      <c r="G123" s="32" t="e">
        <f>VLOOKUP(#REF!,#REF!,6,0)</f>
        <v>#REF!</v>
      </c>
      <c r="H123" s="11"/>
      <c r="I123" s="26"/>
    </row>
    <row r="124" spans="1:10" ht="16.5">
      <c r="A124" s="8">
        <v>42</v>
      </c>
      <c r="B124" s="49" t="e">
        <f>MID(#REF!,1,6)</f>
        <v>#REF!</v>
      </c>
      <c r="C124" s="50" t="s">
        <v>54</v>
      </c>
      <c r="D124" s="18"/>
      <c r="E124" s="19"/>
      <c r="F124" s="53" t="e">
        <f>VLOOKUP(#REF!,#REF!,5,0)</f>
        <v>#REF!</v>
      </c>
      <c r="G124" s="32" t="e">
        <f>VLOOKUP(#REF!,#REF!,6,0)</f>
        <v>#REF!</v>
      </c>
      <c r="H124" s="11"/>
      <c r="I124" s="26"/>
    </row>
    <row r="125" spans="1:10" ht="15">
      <c r="A125" s="8">
        <v>43</v>
      </c>
      <c r="B125" s="49" t="e">
        <f>MID(#REF!,1,6)</f>
        <v>#REF!</v>
      </c>
      <c r="C125" s="50" t="s">
        <v>55</v>
      </c>
      <c r="D125" s="18"/>
      <c r="E125" s="19"/>
      <c r="F125" s="54" t="e">
        <f>VLOOKUP(#REF!,#REF!,5,0)</f>
        <v>#REF!</v>
      </c>
      <c r="G125" s="55" t="e">
        <f>VLOOKUP(#REF!,#REF!,6,0)</f>
        <v>#REF!</v>
      </c>
      <c r="H125" s="11"/>
      <c r="I125" s="26"/>
    </row>
    <row r="126" spans="1:10" ht="15">
      <c r="A126" s="8"/>
      <c r="B126" s="9"/>
      <c r="C126" s="9"/>
      <c r="D126" s="18"/>
      <c r="E126" s="19"/>
      <c r="F126" s="32"/>
      <c r="G126" s="32"/>
      <c r="H126" s="11"/>
      <c r="I126" s="26"/>
    </row>
    <row r="127" spans="1:10" ht="15">
      <c r="A127" s="40"/>
      <c r="B127" s="41"/>
      <c r="C127" s="41"/>
      <c r="D127" s="13"/>
      <c r="E127" s="11"/>
      <c r="F127" s="32"/>
      <c r="G127" s="32"/>
      <c r="H127" s="11"/>
      <c r="I127" s="26"/>
    </row>
    <row r="128" spans="1:10" ht="15">
      <c r="B128" s="41"/>
      <c r="C128" s="41"/>
      <c r="D128" s="13"/>
      <c r="E128" s="11"/>
      <c r="F128" s="32"/>
      <c r="G128" s="32"/>
      <c r="H128" s="11"/>
      <c r="I128" s="26">
        <v>17</v>
      </c>
      <c r="J128" s="36" t="s">
        <v>36</v>
      </c>
    </row>
    <row r="129" spans="1:10" ht="15">
      <c r="A129" s="40"/>
      <c r="B129" s="41"/>
      <c r="C129" s="41"/>
      <c r="D129" s="13"/>
      <c r="E129" s="11"/>
      <c r="F129" s="32"/>
      <c r="G129" s="32"/>
      <c r="H129" s="11"/>
      <c r="I129" s="26"/>
    </row>
    <row r="130" spans="1:10" ht="15">
      <c r="A130" s="8"/>
      <c r="B130" s="25"/>
      <c r="C130" s="9"/>
      <c r="D130" s="12"/>
      <c r="E130" s="11"/>
      <c r="F130" s="11"/>
      <c r="G130" s="11"/>
      <c r="H130" s="11"/>
      <c r="I130" s="26">
        <v>43</v>
      </c>
      <c r="J130" s="36" t="s">
        <v>35</v>
      </c>
    </row>
    <row r="131" spans="1:10">
      <c r="A131" s="59" t="s">
        <v>28</v>
      </c>
      <c r="B131" s="59"/>
      <c r="C131" s="29">
        <f>+I128</f>
        <v>17</v>
      </c>
      <c r="D131" s="29" t="s">
        <v>37</v>
      </c>
      <c r="E131" s="37"/>
      <c r="F131" s="11"/>
      <c r="G131" s="11"/>
      <c r="H131" s="11"/>
    </row>
    <row r="132" spans="1:10">
      <c r="A132" s="28"/>
      <c r="B132" s="29"/>
      <c r="C132" s="42">
        <f>+I128/I130</f>
        <v>0.39534883720930231</v>
      </c>
      <c r="D132" s="43" t="s">
        <v>30</v>
      </c>
      <c r="F132" s="11"/>
      <c r="G132" s="11"/>
      <c r="H132" s="11"/>
    </row>
    <row r="133" spans="1:10">
      <c r="A133" s="59" t="s">
        <v>29</v>
      </c>
      <c r="B133" s="59"/>
      <c r="C133" s="59"/>
      <c r="D133" s="30"/>
      <c r="E133" s="10"/>
      <c r="F133" s="11"/>
      <c r="G133" s="11"/>
      <c r="H133" s="11"/>
    </row>
    <row r="134" spans="1:10">
      <c r="A134" s="8"/>
      <c r="B134" s="25"/>
      <c r="C134" s="9"/>
      <c r="D134" s="9"/>
      <c r="E134" s="10"/>
      <c r="F134" s="11"/>
      <c r="G134" s="11"/>
      <c r="H134" s="11"/>
    </row>
    <row r="135" spans="1:10">
      <c r="A135" s="8"/>
      <c r="B135" s="25"/>
      <c r="C135" s="9"/>
      <c r="D135" s="12"/>
      <c r="E135" s="11"/>
      <c r="F135" s="11"/>
      <c r="G135" s="11"/>
      <c r="H135" s="11"/>
    </row>
    <row r="136" spans="1:10">
      <c r="A136" s="8"/>
      <c r="B136" s="8"/>
      <c r="C136" s="8"/>
      <c r="D136" s="9"/>
      <c r="E136" s="10"/>
      <c r="F136" s="11"/>
      <c r="G136" s="11"/>
      <c r="H136" s="11"/>
    </row>
    <row r="137" spans="1:10">
      <c r="A137" s="8"/>
      <c r="B137" s="8"/>
      <c r="C137" s="8"/>
      <c r="D137" s="9"/>
      <c r="E137" s="10"/>
      <c r="F137" s="11"/>
      <c r="G137" s="11"/>
      <c r="H137" s="11"/>
    </row>
    <row r="141" spans="1:10">
      <c r="A141" s="60" t="s">
        <v>22</v>
      </c>
      <c r="B141" s="61"/>
      <c r="C141" s="61"/>
      <c r="D141" s="61"/>
      <c r="E141" s="61"/>
      <c r="F141" s="61"/>
      <c r="G141" s="61"/>
      <c r="H141" s="62"/>
    </row>
    <row r="142" spans="1:10">
      <c r="A142" s="21"/>
      <c r="B142" s="22"/>
      <c r="C142" s="23" t="s">
        <v>21</v>
      </c>
      <c r="D142" s="22"/>
      <c r="E142" s="56" t="s">
        <v>23</v>
      </c>
      <c r="F142" s="56"/>
      <c r="G142" s="56"/>
      <c r="H142" s="24"/>
    </row>
    <row r="144" spans="1:10">
      <c r="C144" s="57" t="s">
        <v>24</v>
      </c>
      <c r="D144" s="57"/>
      <c r="E144" s="57"/>
      <c r="F144" s="57"/>
    </row>
    <row r="148" spans="3:6">
      <c r="C148" s="57" t="s">
        <v>25</v>
      </c>
      <c r="D148" s="57"/>
      <c r="E148" s="57"/>
      <c r="F148" s="57"/>
    </row>
    <row r="152" spans="3:6">
      <c r="C152" s="57" t="s">
        <v>26</v>
      </c>
      <c r="D152" s="57"/>
      <c r="E152" s="57"/>
      <c r="F152" s="57"/>
    </row>
  </sheetData>
  <mergeCells count="53">
    <mergeCell ref="A12:B12"/>
    <mergeCell ref="A1:H2"/>
    <mergeCell ref="A8:B8"/>
    <mergeCell ref="A4:H4"/>
    <mergeCell ref="A6:H6"/>
    <mergeCell ref="F8:G8"/>
    <mergeCell ref="B15:C15"/>
    <mergeCell ref="E15:F15"/>
    <mergeCell ref="F10:G10"/>
    <mergeCell ref="F12:H12"/>
    <mergeCell ref="D12:E12"/>
    <mergeCell ref="A10:B10"/>
    <mergeCell ref="A53:H54"/>
    <mergeCell ref="A37:H37"/>
    <mergeCell ref="E38:G38"/>
    <mergeCell ref="C40:F40"/>
    <mergeCell ref="C44:F44"/>
    <mergeCell ref="C48:F48"/>
    <mergeCell ref="A56:H56"/>
    <mergeCell ref="A58:H58"/>
    <mergeCell ref="F60:G60"/>
    <mergeCell ref="F62:G62"/>
    <mergeCell ref="A64:C64"/>
    <mergeCell ref="D64:E64"/>
    <mergeCell ref="F64:H64"/>
    <mergeCell ref="B67:C67"/>
    <mergeCell ref="E67:F67"/>
    <mergeCell ref="A60:B60"/>
    <mergeCell ref="A62:B62"/>
    <mergeCell ref="C100:F100"/>
    <mergeCell ref="A89:H89"/>
    <mergeCell ref="E90:G90"/>
    <mergeCell ref="C92:F92"/>
    <mergeCell ref="C96:F96"/>
    <mergeCell ref="A105:H106"/>
    <mergeCell ref="A108:H108"/>
    <mergeCell ref="A110:H110"/>
    <mergeCell ref="A112:B112"/>
    <mergeCell ref="F112:G112"/>
    <mergeCell ref="A114:B114"/>
    <mergeCell ref="F114:G114"/>
    <mergeCell ref="A116:C116"/>
    <mergeCell ref="D116:E116"/>
    <mergeCell ref="F116:H116"/>
    <mergeCell ref="E142:G142"/>
    <mergeCell ref="C144:F144"/>
    <mergeCell ref="C148:F148"/>
    <mergeCell ref="C152:F152"/>
    <mergeCell ref="B119:C119"/>
    <mergeCell ref="E119:F119"/>
    <mergeCell ref="A131:B131"/>
    <mergeCell ref="A133:C133"/>
    <mergeCell ref="A141:H141"/>
  </mergeCells>
  <pageMargins left="0.7" right="0.7" top="1.3149999999999999" bottom="0.75" header="0.3" footer="0.3"/>
  <pageSetup paperSize="9" scale="81" orientation="portrait" r:id="rId1"/>
  <rowBreaks count="2" manualBreakCount="2">
    <brk id="51" max="8" man="1"/>
    <brk id="103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PCT</vt:lpstr>
      <vt:lpstr>PCT!Área_de_impresión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DIAZ REYES</dc:creator>
  <cp:lastModifiedBy>GABRIELA DIAZ REYES</cp:lastModifiedBy>
  <cp:lastPrinted>2023-04-13T19:39:22Z</cp:lastPrinted>
  <dcterms:created xsi:type="dcterms:W3CDTF">2022-07-11T16:38:30Z</dcterms:created>
  <dcterms:modified xsi:type="dcterms:W3CDTF">2026-03-23T21:50:44Z</dcterms:modified>
</cp:coreProperties>
</file>